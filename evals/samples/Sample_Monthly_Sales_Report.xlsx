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customXml/itemProps1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connections.xml><?xml version="1.0" encoding="utf-8"?>
<connections xmlns="http://schemas.openxmlformats.org/spreadsheetml/2006/main">
  <connection id="1" keepAlive="1" name="pbiazure_api.powerbi.com Sales Analytics Model" type="5" refreshedVersion="8" background="1">
    <dbPr connection="Provider=MSOLAP.8;Integrated Security=ClaimsToken;Persist Security Info=True;Initial Catalog=sobe_wowvirtualserver-aaaaaaaa-bbbb-cccc-dddd-eeeeeeeeeeee;Data Source=pbiazure://api.powerbi.com;MDX Compatibility=1;Safety Options=2;MDX Missing Member Mode=Error;Identity Provider=https://login.microsoftonline.com/common, https://analysis.windows.net/powerbi/api, 11111111-2222-3333-4444-555555555555;Update Isolation Level=2" command="Model" commandType="1"/>
    <olapPr sendLocale="1" rowDrillCount="1000"/>
  </connection>
  <connection id="2" keepAlive="1" name="Query - SalesDetail" description="Connection to the 'SalesDetail' query in the workbook." type="5" refreshedVersion="8" background="1" saveData="1">
    <dbPr connection="Provider=Microsoft.Mashup.OleDb.1;Data Source=$Workbook$;Location=SalesDetail;Extended Properties=&quot;&quot;" command="SELECT * FROM [SalesDetail]"/>
  </connection>
</connections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BDD7E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</border>
    <border>
      <top style="double">
        <color rgb="001F4E78"/>
      </top>
      <bottom style="thin">
        <color rgb="001F4E7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3" fontId="4" fillId="0" borderId="2" pivotButton="0" quotePrefix="0" xfId="0"/>
    <xf numFmtId="4" fontId="4" fillId="0" borderId="2" pivotButton="0" quotePrefix="0" xfId="0"/>
    <xf numFmtId="164" fontId="4" fillId="0" borderId="2" pivotButton="0" quotePrefix="0" xfId="0"/>
    <xf numFmtId="0" fontId="4" fillId="3" borderId="2" pivotButton="0" quotePrefix="0" xfId="0"/>
    <xf numFmtId="3" fontId="4" fillId="3" borderId="2" pivotButton="0" quotePrefix="0" xfId="0"/>
    <xf numFmtId="4" fontId="4" fillId="3" borderId="2" pivotButton="0" quotePrefix="0" xfId="0"/>
    <xf numFmtId="164" fontId="4" fillId="3" borderId="2" pivotButton="0" quotePrefix="0" xfId="0"/>
    <xf numFmtId="0" fontId="5" fillId="4" borderId="3" pivotButton="0" quotePrefix="0" xfId="0"/>
    <xf numFmtId="3" fontId="5" fillId="4" borderId="3" pivotButton="0" quotePrefix="0" xfId="0"/>
    <xf numFmtId="4" fontId="5" fillId="4" borderId="3" pivotButton="0" quotePrefix="0" xfId="0"/>
    <xf numFmtId="164" fontId="5" fillId="4" borderId="3" pivotButton="0" quotePrefix="0" xfId="0"/>
    <xf numFmtId="0" fontId="5" fillId="5" borderId="4" pivotButton="0" quotePrefix="0" xfId="0"/>
    <xf numFmtId="3" fontId="5" fillId="5" borderId="4" pivotButton="0" quotePrefix="0" xfId="0"/>
    <xf numFmtId="4" fontId="5" fillId="5" borderId="4" pivotButton="0" quotePrefix="0" xfId="0"/>
    <xf numFmtId="164" fontId="5" fillId="5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Conn1" Type="http://schemas.openxmlformats.org/officeDocument/2006/relationships/connections" Target="connections.xml"/><Relationship Id="rIdCx1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16" customWidth="1" min="5" max="5"/>
    <col width="11" customWidth="1" min="6" max="6"/>
  </cols>
  <sheetData>
    <row r="1">
      <c r="A1" s="1" t="inlineStr">
        <is>
          <t>Contoso Ltd - Monthly Sales Report</t>
        </is>
      </c>
    </row>
    <row r="2">
      <c r="A2" s="2" t="inlineStr">
        <is>
          <t>Period: September 2026</t>
        </is>
      </c>
    </row>
    <row r="4" ht="20" customHeight="1">
      <c r="A4" s="3" t="inlineStr">
        <is>
          <t>Region</t>
        </is>
      </c>
      <c r="B4" s="3" t="inlineStr">
        <is>
          <t>Product Category</t>
        </is>
      </c>
      <c r="C4" s="3" t="inlineStr">
        <is>
          <t>Units</t>
        </is>
      </c>
      <c r="D4" s="3" t="inlineStr">
        <is>
          <t>Sales Amount</t>
        </is>
      </c>
      <c r="E4" s="3" t="inlineStr">
        <is>
          <t>Cost</t>
        </is>
      </c>
      <c r="F4" s="3" t="inlineStr">
        <is>
          <t>Margin %</t>
        </is>
      </c>
    </row>
    <row r="5">
      <c r="A5" s="4" t="inlineStr">
        <is>
          <t>APAC</t>
        </is>
      </c>
      <c r="B5" s="4" t="inlineStr">
        <is>
          <t>Accessories</t>
        </is>
      </c>
      <c r="C5" s="5" t="n">
        <v>1200</v>
      </c>
      <c r="D5" s="6" t="n">
        <v>36000</v>
      </c>
      <c r="E5" s="6" t="n">
        <v>21600</v>
      </c>
      <c r="F5" s="7">
        <f>IF(D5=0,0,(D5-E5)/D5)</f>
        <v>0.4</v>
      </c>
    </row>
    <row r="6">
      <c r="A6" s="8" t="inlineStr">
        <is>
          <t>APAC</t>
        </is>
      </c>
      <c r="B6" s="8" t="inlineStr">
        <is>
          <t>Bikes</t>
        </is>
      </c>
      <c r="C6" s="9" t="n">
        <v>310</v>
      </c>
      <c r="D6" s="10" t="n">
        <v>465000</v>
      </c>
      <c r="E6" s="10" t="n">
        <v>325500</v>
      </c>
      <c r="F6" s="11">
        <f>IF(D6=0,0,(D6-E6)/D6)</f>
        <v>0.3</v>
      </c>
    </row>
    <row r="7">
      <c r="A7" s="4" t="inlineStr">
        <is>
          <t>APAC</t>
        </is>
      </c>
      <c r="B7" s="4" t="inlineStr">
        <is>
          <t>Clothing</t>
        </is>
      </c>
      <c r="C7" s="5" t="n">
        <v>2150</v>
      </c>
      <c r="D7" s="6" t="n">
        <v>64500</v>
      </c>
      <c r="E7" s="6" t="n">
        <v>41925</v>
      </c>
      <c r="F7" s="7">
        <f>IF(D7=0,0,(D7-E7)/D7)</f>
        <v>0.35</v>
      </c>
    </row>
    <row r="8">
      <c r="A8" s="12" t="inlineStr">
        <is>
          <t>APAC Total</t>
        </is>
      </c>
      <c r="B8" s="12" t="n"/>
      <c r="C8" s="13">
        <f>SUBTOTAL(9,C5:C7)</f>
        <v>3660</v>
      </c>
      <c r="D8" s="14">
        <f>SUBTOTAL(9,D5:D7)</f>
        <v>565500.0</v>
      </c>
      <c r="E8" s="14">
        <f>SUBTOTAL(9,E5:E7)</f>
        <v>389025.0</v>
      </c>
      <c r="F8" s="15">
        <f>IF(D8=0,0,(D8-E8)/D8)</f>
        <v>0.3120689655172414</v>
      </c>
    </row>
    <row r="9">
      <c r="A9" s="8" t="inlineStr">
        <is>
          <t>Americas</t>
        </is>
      </c>
      <c r="B9" s="8" t="inlineStr">
        <is>
          <t>Accessories</t>
        </is>
      </c>
      <c r="C9" s="9" t="n">
        <v>1810</v>
      </c>
      <c r="D9" s="10" t="n">
        <v>54300</v>
      </c>
      <c r="E9" s="10" t="n">
        <v>31494</v>
      </c>
      <c r="F9" s="11">
        <f>IF(D9=0,0,(D9-E9)/D9)</f>
        <v>0.42</v>
      </c>
    </row>
    <row r="10">
      <c r="A10" s="4" t="inlineStr">
        <is>
          <t>Americas</t>
        </is>
      </c>
      <c r="B10" s="4" t="inlineStr">
        <is>
          <t>Bikes</t>
        </is>
      </c>
      <c r="C10" s="5" t="n">
        <v>520</v>
      </c>
      <c r="D10" s="6" t="n">
        <v>780000</v>
      </c>
      <c r="E10" s="6" t="n">
        <v>538200</v>
      </c>
      <c r="F10" s="7">
        <f>IF(D10=0,0,(D10-E10)/D10)</f>
        <v>0.31</v>
      </c>
    </row>
    <row r="11">
      <c r="A11" s="8" t="inlineStr">
        <is>
          <t>Americas</t>
        </is>
      </c>
      <c r="B11" s="8" t="inlineStr">
        <is>
          <t>Clothing</t>
        </is>
      </c>
      <c r="C11" s="9" t="n">
        <v>3020</v>
      </c>
      <c r="D11" s="10" t="n">
        <v>90600</v>
      </c>
      <c r="E11" s="10" t="n">
        <v>57984</v>
      </c>
      <c r="F11" s="11">
        <f>IF(D11=0,0,(D11-E11)/D11)</f>
        <v>0.36</v>
      </c>
    </row>
    <row r="12">
      <c r="A12" s="4" t="inlineStr">
        <is>
          <t>Americas</t>
        </is>
      </c>
      <c r="B12" s="4" t="inlineStr">
        <is>
          <t>Components</t>
        </is>
      </c>
      <c r="C12" s="5" t="n">
        <v>940</v>
      </c>
      <c r="D12" s="6" t="n">
        <v>141000</v>
      </c>
      <c r="E12" s="6" t="n">
        <v>95880</v>
      </c>
      <c r="F12" s="7">
        <f>IF(D12=0,0,(D12-E12)/D12)</f>
        <v>0.32</v>
      </c>
    </row>
    <row r="13">
      <c r="A13" s="12" t="inlineStr">
        <is>
          <t>Americas Total</t>
        </is>
      </c>
      <c r="B13" s="12" t="n"/>
      <c r="C13" s="13">
        <f>SUBTOTAL(9,C9:C12)</f>
        <v>6290</v>
      </c>
      <c r="D13" s="14">
        <f>SUBTOTAL(9,D9:D12)</f>
        <v>1065900.0</v>
      </c>
      <c r="E13" s="14">
        <f>SUBTOTAL(9,E9:E12)</f>
        <v>723558.0</v>
      </c>
      <c r="F13" s="15">
        <f>IF(D13=0,0,(D13-E13)/D13)</f>
        <v>0.3211764705882353</v>
      </c>
    </row>
    <row r="14">
      <c r="A14" s="8" t="inlineStr">
        <is>
          <t>EMEA</t>
        </is>
      </c>
      <c r="B14" s="8" t="inlineStr">
        <is>
          <t>Accessories</t>
        </is>
      </c>
      <c r="C14" s="9" t="n">
        <v>1540</v>
      </c>
      <c r="D14" s="10" t="n">
        <v>46200</v>
      </c>
      <c r="E14" s="10" t="n">
        <v>27258</v>
      </c>
      <c r="F14" s="11">
        <f>IF(D14=0,0,(D14-E14)/D14)</f>
        <v>0.41</v>
      </c>
    </row>
    <row r="15">
      <c r="A15" s="4" t="inlineStr">
        <is>
          <t>EMEA</t>
        </is>
      </c>
      <c r="B15" s="4" t="inlineStr">
        <is>
          <t>Bikes</t>
        </is>
      </c>
      <c r="C15" s="5" t="n">
        <v>405</v>
      </c>
      <c r="D15" s="6" t="n">
        <v>607500</v>
      </c>
      <c r="E15" s="6" t="n">
        <v>431325</v>
      </c>
      <c r="F15" s="7">
        <f>IF(D15=0,0,(D15-E15)/D15)</f>
        <v>0.29</v>
      </c>
    </row>
    <row r="16">
      <c r="A16" s="8" t="inlineStr">
        <is>
          <t>EMEA</t>
        </is>
      </c>
      <c r="B16" s="8" t="inlineStr">
        <is>
          <t>Clothing</t>
        </is>
      </c>
      <c r="C16" s="9" t="n">
        <v>2600</v>
      </c>
      <c r="D16" s="10" t="n">
        <v>78000</v>
      </c>
      <c r="E16" s="10" t="n">
        <v>49920</v>
      </c>
      <c r="F16" s="11">
        <f>IF(D16=0,0,(D16-E16)/D16)</f>
        <v>0.36</v>
      </c>
    </row>
    <row r="17">
      <c r="A17" s="12" t="inlineStr">
        <is>
          <t>EMEA Total</t>
        </is>
      </c>
      <c r="B17" s="12" t="n"/>
      <c r="C17" s="13">
        <f>SUBTOTAL(9,C14:C16)</f>
        <v>4545</v>
      </c>
      <c r="D17" s="14">
        <f>SUBTOTAL(9,D14:D16)</f>
        <v>731700.0</v>
      </c>
      <c r="E17" s="14">
        <f>SUBTOTAL(9,E14:E16)</f>
        <v>508503.0</v>
      </c>
      <c r="F17" s="15">
        <f>IF(D17=0,0,(D17-E17)/D17)</f>
        <v>0.3050389503895039</v>
      </c>
    </row>
    <row r="18">
      <c r="A18" s="16" t="inlineStr">
        <is>
          <t>Grand Total</t>
        </is>
      </c>
      <c r="B18" s="16" t="n"/>
      <c r="C18" s="17">
        <f>SUBTOTAL(9,C5:C17)</f>
        <v>14495</v>
      </c>
      <c r="D18" s="18">
        <f>SUBTOTAL(9,D5:D17)</f>
        <v>2363100.0</v>
      </c>
      <c r="E18" s="18">
        <f>SUBTOTAL(9,E5:E17)</f>
        <v>1621086.0</v>
      </c>
      <c r="F18" s="19">
        <f>IF(D18=0,0,(D18-E18)/D18)</f>
        <v>0.31400025390377045</v>
      </c>
    </row>
  </sheetData>
  <mergeCells count="2">
    <mergeCell ref="A2:F2"/>
    <mergeCell ref="A1:F1"/>
  </mergeCells>
  <pageMargins left="0.5" right="0.5" top="0.5" bottom="0.5" header="0.5" footer="0.5"/>
  <pageSetup orientation="landscape" paperSize="9" fitToWidth="1"/>
  <headerFooter>
    <oddHeader>&amp;RConfidential - internal use</oddHeader>
    <oddFooter>&amp;CPage &amp;P of &amp;N</oddFooter>
    <evenHeader/>
    <evenFooter/>
    <firstHeader/>
    <firstFooter/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FEDE8E-0D90-4814-8F5B-C093067818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Automation Test</dc:creator>
  <dc:title xmlns:dc="http://purl.org/dc/elements/1.1/">Monthly Sales Report</dc:title>
  <dcterms:created xmlns:dcterms="http://purl.org/dc/terms/" xmlns:xsi="http://www.w3.org/2001/XMLSchema-instance" xsi:type="dcterms:W3CDTF">2026-10-26T08:03:43Z</dcterms:created>
  <dcterms:modified xmlns:dcterms="http://purl.org/dc/terms/" xmlns:xsi="http://www.w3.org/2001/XMLSchema-instance" xsi:type="dcterms:W3CDTF">2026-10-26T08:03:43Z</dcterms:modified>
</cp:coreProperties>
</file>

<file path=docProps/custom.xml><?xml version="1.0" encoding="utf-8"?>
<Properties xmlns="http://schemas.openxmlformats.org/officeDocument/2006/custom-properties">
  <property name="MSIP_Label_9f1c2b3a-0000-4000-8000-00000000abcd_Enabled" fmtid="{D5CDD505-2E9C-101B-9397-08002B2CF9AE}" pid="2">
    <vt:lpwstr xmlns:vt="http://schemas.openxmlformats.org/officeDocument/2006/docPropsVTypes">true</vt:lpwstr>
  </property>
  <property name="MSIP_Label_9f1c2b3a-0000-4000-8000-00000000abcd_Name" fmtid="{D5CDD505-2E9C-101B-9397-08002B2CF9AE}" pid="3">
    <vt:lpwstr xmlns:vt="http://schemas.openxmlformats.org/officeDocument/2006/docPropsVTypes">General</vt:lpwstr>
  </property>
  <property name="MSIP_Label_9f1c2b3a-0000-4000-8000-00000000abcd_Method" fmtid="{D5CDD505-2E9C-101B-9397-08002B2CF9AE}" pid="4">
    <vt:lpwstr xmlns:vt="http://schemas.openxmlformats.org/officeDocument/2006/docPropsVTypes">Standard</vt:lpwstr>
  </property>
</Properties>
</file>